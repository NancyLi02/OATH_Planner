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0c3517ebd342d59a/Documents/Gatech/Multi-agent Research/Results/"/>
    </mc:Choice>
  </mc:AlternateContent>
  <xr:revisionPtr revIDLastSave="155" documentId="8_{378ACD8E-3B5F-4766-84E6-837374C366C9}" xr6:coauthVersionLast="47" xr6:coauthVersionMax="47" xr10:uidLastSave="{0FA5CC94-F378-4C44-8888-36A9F470BF77}"/>
  <bookViews>
    <workbookView xWindow="-103" yWindow="-103" windowWidth="22149" windowHeight="13200" firstSheet="1" activeTab="6" xr2:uid="{00000000-000D-0000-FFFF-FFFF00000000}"/>
  </bookViews>
  <sheets>
    <sheet name="Sheet1" sheetId="1" r:id="rId1"/>
    <sheet name="Total Steps" sheetId="3" r:id="rId2"/>
    <sheet name="Total Time" sheetId="4" r:id="rId3"/>
    <sheet name="LLM" sheetId="5" r:id="rId4"/>
    <sheet name="Sheet2" sheetId="6" r:id="rId5"/>
    <sheet name="Sensitivity of Cluster number" sheetId="7" r:id="rId6"/>
    <sheet name="MILP compare" sheetId="8" r:id="rId7"/>
    <sheet name="CBBA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" l="1"/>
  <c r="D18" i="1"/>
  <c r="D19" i="1"/>
  <c r="D16" i="1"/>
</calcChain>
</file>

<file path=xl/sharedStrings.xml><?xml version="1.0" encoding="utf-8"?>
<sst xmlns="http://schemas.openxmlformats.org/spreadsheetml/2006/main" count="106" uniqueCount="70">
  <si>
    <t>18tasks</t>
  </si>
  <si>
    <t>time</t>
  </si>
  <si>
    <t>total steps</t>
  </si>
  <si>
    <t>100 tasks</t>
  </si>
  <si>
    <t>75tasks</t>
  </si>
  <si>
    <t>50 tasks</t>
  </si>
  <si>
    <t>25 tasks</t>
  </si>
  <si>
    <t>points</t>
  </si>
  <si>
    <t>3min03s</t>
  </si>
  <si>
    <t>2min33s</t>
  </si>
  <si>
    <t>1min49s</t>
  </si>
  <si>
    <t>4min15s</t>
  </si>
  <si>
    <t>1min1s</t>
  </si>
  <si>
    <t>59 s</t>
  </si>
  <si>
    <t>46s</t>
  </si>
  <si>
    <t>40s</t>
  </si>
  <si>
    <t>Task Num</t>
  </si>
  <si>
    <t>Old Framework</t>
  </si>
  <si>
    <t>New Framework</t>
  </si>
  <si>
    <t>Total steps</t>
  </si>
  <si>
    <t>Old</t>
  </si>
  <si>
    <t>New</t>
  </si>
  <si>
    <t>Baseline</t>
  </si>
  <si>
    <t>LLM-OATH</t>
  </si>
  <si>
    <t>Improvement</t>
  </si>
  <si>
    <t>Task number</t>
  </si>
  <si>
    <t>Total time</t>
  </si>
  <si>
    <t>Total Steps</t>
  </si>
  <si>
    <t>CBBA</t>
  </si>
  <si>
    <t>OATH</t>
  </si>
  <si>
    <t>Building graph</t>
  </si>
  <si>
    <t>193.22ms</t>
  </si>
  <si>
    <t>6.22s</t>
  </si>
  <si>
    <t>289.58ms</t>
  </si>
  <si>
    <t>OATH=dijkstra+cluster+MILP</t>
  </si>
  <si>
    <t>285.62ms</t>
  </si>
  <si>
    <t>6.59s</t>
  </si>
  <si>
    <t>169.82ms</t>
  </si>
  <si>
    <t>389.91ms</t>
  </si>
  <si>
    <t>399.06ms</t>
  </si>
  <si>
    <t>313.52ms</t>
  </si>
  <si>
    <t>571.68ms</t>
  </si>
  <si>
    <t>Task number = 100, robot = 10</t>
  </si>
  <si>
    <t>Robot number = 16, capacity = 3</t>
  </si>
  <si>
    <t>576.20ms</t>
  </si>
  <si>
    <t>Task Number</t>
  </si>
  <si>
    <t>k-means+NN</t>
  </si>
  <si>
    <t>k-means+MILP</t>
  </si>
  <si>
    <t>Add Task</t>
  </si>
  <si>
    <t>LLM</t>
  </si>
  <si>
    <t>w/LLM</t>
  </si>
  <si>
    <t>steps</t>
  </si>
  <si>
    <t>time(s)</t>
  </si>
  <si>
    <t>Add Obstacles</t>
  </si>
  <si>
    <t>Change Task Priority</t>
  </si>
  <si>
    <t>w/LLM(25 Tasks)</t>
  </si>
  <si>
    <t>Number of Task</t>
  </si>
  <si>
    <t>Total Time(s)</t>
  </si>
  <si>
    <t>Cluster Number</t>
  </si>
  <si>
    <t>Total Time</t>
  </si>
  <si>
    <t>18 tasks</t>
  </si>
  <si>
    <t>MILP</t>
  </si>
  <si>
    <t>15 tasks</t>
  </si>
  <si>
    <t>12 tasks</t>
  </si>
  <si>
    <t>9 tasks</t>
  </si>
  <si>
    <t>Reach Limit 600s</t>
  </si>
  <si>
    <t>21 tasks</t>
  </si>
  <si>
    <t>MILP Gap with 下界</t>
  </si>
  <si>
    <t>MILP Computation time (seconds)</t>
  </si>
  <si>
    <t>OATH Computation 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</si>
</sst>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21811817242252"/>
          <c:y val="0.21349662397504424"/>
          <c:w val="0.76728224585190452"/>
          <c:h val="0.66794685559125422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Sheet1!$B$15</c:f>
              <c:strCache>
                <c:ptCount val="1"/>
                <c:pt idx="0">
                  <c:v>Baseline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Sheet1!$A$16:$A$19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</c:numCache>
            </c:numRef>
          </c:cat>
          <c:val>
            <c:numRef>
              <c:f>Sheet1!$B$16:$B$19</c:f>
              <c:numCache>
                <c:formatCode>General</c:formatCode>
                <c:ptCount val="4"/>
                <c:pt idx="0">
                  <c:v>199</c:v>
                </c:pt>
                <c:pt idx="1">
                  <c:v>497</c:v>
                </c:pt>
                <c:pt idx="2">
                  <c:v>687</c:v>
                </c:pt>
                <c:pt idx="3">
                  <c:v>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A4-46E3-83F1-30D85433B403}"/>
            </c:ext>
          </c:extLst>
        </c:ser>
        <c:ser>
          <c:idx val="0"/>
          <c:order val="1"/>
          <c:tx>
            <c:strRef>
              <c:f>Sheet1!$C$15</c:f>
              <c:strCache>
                <c:ptCount val="1"/>
                <c:pt idx="0">
                  <c:v>LLM-OATH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Sheet1!$C$16:$C$19</c:f>
              <c:numCache>
                <c:formatCode>General</c:formatCode>
                <c:ptCount val="4"/>
                <c:pt idx="0">
                  <c:v>248</c:v>
                </c:pt>
                <c:pt idx="1">
                  <c:v>389</c:v>
                </c:pt>
                <c:pt idx="2">
                  <c:v>554</c:v>
                </c:pt>
                <c:pt idx="3">
                  <c:v>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A4-46E3-83F1-30D85433B403}"/>
            </c:ext>
          </c:extLst>
        </c:ser>
        <c:ser>
          <c:idx val="2"/>
          <c:order val="2"/>
          <c:tx>
            <c:strRef>
              <c:f>Sheet1!$D$15</c:f>
              <c:strCache>
                <c:ptCount val="1"/>
                <c:pt idx="0">
                  <c:v>Improvement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Sheet1!$D$16:$D$19</c:f>
              <c:numCache>
                <c:formatCode>General</c:formatCode>
                <c:ptCount val="4"/>
                <c:pt idx="0">
                  <c:v>-49</c:v>
                </c:pt>
                <c:pt idx="1">
                  <c:v>108</c:v>
                </c:pt>
                <c:pt idx="2">
                  <c:v>133</c:v>
                </c:pt>
                <c:pt idx="3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5-472E-BB37-3239000190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99610271"/>
        <c:axId val="1399611231"/>
      </c:barChart>
      <c:catAx>
        <c:axId val="13996102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Task Number</a:t>
                </a:r>
              </a:p>
            </c:rich>
          </c:tx>
          <c:layout>
            <c:manualLayout>
              <c:xMode val="edge"/>
              <c:yMode val="edge"/>
              <c:x val="0.44994360666930616"/>
              <c:y val="0.911364412820504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11231"/>
        <c:crosses val="autoZero"/>
        <c:auto val="1"/>
        <c:lblAlgn val="ctr"/>
        <c:lblOffset val="100"/>
        <c:noMultiLvlLbl val="0"/>
      </c:catAx>
      <c:valAx>
        <c:axId val="139961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Total Steps</a:t>
                </a:r>
              </a:p>
            </c:rich>
          </c:tx>
          <c:layout>
            <c:manualLayout>
              <c:xMode val="edge"/>
              <c:yMode val="edge"/>
              <c:x val="5.3861175207425983E-2"/>
              <c:y val="0.39520383388654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610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7170690922132736"/>
          <c:y val="7.7539442286061952E-2"/>
          <c:w val="0.43719194405961515"/>
          <c:h val="6.12078726494515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385083</xdr:colOff>
      <xdr:row>11</xdr:row>
      <xdr:rowOff>108857</xdr:rowOff>
    </xdr:from>
    <xdr:to>
      <xdr:col>18</xdr:col>
      <xdr:colOff>271467</xdr:colOff>
      <xdr:row>34</xdr:row>
      <xdr:rowOff>106816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16B068-7F43-204F-6E28-2539B87A90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workbookViewId="0">
      <selection activeCell="M4" sqref="M4"/>
    </sheetView>
  </sheetViews>
  <sheetFormatPr defaultRowHeight="14.6" x14ac:dyDescent="0.4"/>
  <cols>
    <col min="2" max="2" width="14.4609375" customWidth="1"/>
    <col min="3" max="3" width="16.23046875" customWidth="1"/>
  </cols>
  <sheetData>
    <row r="1" spans="1:11" x14ac:dyDescent="0.4">
      <c r="B1" t="s">
        <v>0</v>
      </c>
      <c r="C1">
        <v>10</v>
      </c>
      <c r="D1">
        <v>15</v>
      </c>
      <c r="E1">
        <v>20</v>
      </c>
      <c r="F1">
        <v>25</v>
      </c>
      <c r="G1" t="s">
        <v>25</v>
      </c>
      <c r="H1" t="s">
        <v>6</v>
      </c>
      <c r="I1" t="s">
        <v>5</v>
      </c>
      <c r="J1" t="s">
        <v>4</v>
      </c>
      <c r="K1" t="s">
        <v>3</v>
      </c>
    </row>
    <row r="2" spans="1:11" x14ac:dyDescent="0.4">
      <c r="A2" t="s">
        <v>2</v>
      </c>
      <c r="B2">
        <v>440</v>
      </c>
      <c r="C2">
        <v>248</v>
      </c>
      <c r="D2">
        <v>389</v>
      </c>
      <c r="E2">
        <v>554</v>
      </c>
      <c r="F2">
        <v>603</v>
      </c>
      <c r="G2" t="s">
        <v>19</v>
      </c>
      <c r="H2">
        <v>917</v>
      </c>
      <c r="I2">
        <v>1614</v>
      </c>
      <c r="J2">
        <v>2074</v>
      </c>
      <c r="K2">
        <v>2543</v>
      </c>
    </row>
    <row r="3" spans="1:11" x14ac:dyDescent="0.4">
      <c r="A3" t="s">
        <v>1</v>
      </c>
      <c r="B3">
        <v>55</v>
      </c>
      <c r="C3" t="s">
        <v>15</v>
      </c>
      <c r="D3" t="s">
        <v>14</v>
      </c>
      <c r="E3" t="s">
        <v>13</v>
      </c>
      <c r="F3" t="s">
        <v>12</v>
      </c>
      <c r="G3" t="s">
        <v>26</v>
      </c>
      <c r="H3" t="s">
        <v>10</v>
      </c>
      <c r="I3" t="s">
        <v>9</v>
      </c>
      <c r="J3" t="s">
        <v>8</v>
      </c>
      <c r="K3" t="s">
        <v>11</v>
      </c>
    </row>
    <row r="4" spans="1:11" x14ac:dyDescent="0.4">
      <c r="A4" t="s">
        <v>7</v>
      </c>
      <c r="B4">
        <v>1000</v>
      </c>
      <c r="E4">
        <v>1000</v>
      </c>
      <c r="F4">
        <v>1000</v>
      </c>
      <c r="H4">
        <v>2000</v>
      </c>
      <c r="I4">
        <v>2000</v>
      </c>
      <c r="J4">
        <v>2000</v>
      </c>
      <c r="K4">
        <v>2000</v>
      </c>
    </row>
    <row r="9" spans="1:11" x14ac:dyDescent="0.4">
      <c r="B9" t="s">
        <v>17</v>
      </c>
      <c r="C9" t="s">
        <v>18</v>
      </c>
      <c r="D9" t="s">
        <v>20</v>
      </c>
      <c r="E9" t="s">
        <v>21</v>
      </c>
      <c r="F9" t="s">
        <v>20</v>
      </c>
      <c r="G9" t="s">
        <v>21</v>
      </c>
      <c r="H9" t="s">
        <v>20</v>
      </c>
      <c r="I9" t="s">
        <v>21</v>
      </c>
    </row>
    <row r="10" spans="1:11" x14ac:dyDescent="0.4">
      <c r="A10" t="s">
        <v>16</v>
      </c>
      <c r="B10" s="10">
        <v>10</v>
      </c>
      <c r="C10" s="10"/>
      <c r="D10" s="10">
        <v>15</v>
      </c>
      <c r="E10" s="10"/>
      <c r="F10" s="10">
        <v>20</v>
      </c>
      <c r="G10" s="10"/>
      <c r="H10" s="10">
        <v>25</v>
      </c>
      <c r="I10" s="10"/>
    </row>
    <row r="11" spans="1:11" x14ac:dyDescent="0.4">
      <c r="A11" t="s">
        <v>19</v>
      </c>
      <c r="B11">
        <v>199</v>
      </c>
      <c r="C11">
        <v>248</v>
      </c>
      <c r="D11">
        <v>497</v>
      </c>
      <c r="E11">
        <v>389</v>
      </c>
      <c r="F11">
        <v>687</v>
      </c>
      <c r="G11">
        <v>554</v>
      </c>
      <c r="H11">
        <v>868</v>
      </c>
      <c r="I11">
        <v>603</v>
      </c>
    </row>
    <row r="15" spans="1:11" x14ac:dyDescent="0.4">
      <c r="A15" t="s">
        <v>16</v>
      </c>
      <c r="B15" t="s">
        <v>22</v>
      </c>
      <c r="C15" t="s">
        <v>23</v>
      </c>
      <c r="D15" t="s">
        <v>24</v>
      </c>
      <c r="F15" t="s">
        <v>28</v>
      </c>
    </row>
    <row r="16" spans="1:11" x14ac:dyDescent="0.4">
      <c r="A16">
        <v>10</v>
      </c>
      <c r="B16">
        <v>199</v>
      </c>
      <c r="C16">
        <v>248</v>
      </c>
      <c r="D16">
        <f>B16-C16</f>
        <v>-49</v>
      </c>
    </row>
    <row r="17" spans="1:4" x14ac:dyDescent="0.4">
      <c r="A17">
        <v>15</v>
      </c>
      <c r="B17">
        <v>497</v>
      </c>
      <c r="C17">
        <v>389</v>
      </c>
      <c r="D17">
        <f>B17-C17</f>
        <v>108</v>
      </c>
    </row>
    <row r="18" spans="1:4" x14ac:dyDescent="0.4">
      <c r="A18">
        <v>20</v>
      </c>
      <c r="B18">
        <v>687</v>
      </c>
      <c r="C18">
        <v>554</v>
      </c>
      <c r="D18">
        <f>B18-C18</f>
        <v>133</v>
      </c>
    </row>
    <row r="19" spans="1:4" x14ac:dyDescent="0.4">
      <c r="A19">
        <v>25</v>
      </c>
      <c r="B19">
        <v>868</v>
      </c>
      <c r="C19">
        <v>603</v>
      </c>
      <c r="D19">
        <f>B19-C19</f>
        <v>265</v>
      </c>
    </row>
  </sheetData>
  <mergeCells count="4">
    <mergeCell ref="B10:C10"/>
    <mergeCell ref="D10:E10"/>
    <mergeCell ref="F10:G10"/>
    <mergeCell ref="H10:I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C4D09-936B-40E9-B680-6201553E0316}">
  <dimension ref="A1:E6"/>
  <sheetViews>
    <sheetView workbookViewId="0">
      <selection activeCell="I7" sqref="I7"/>
    </sheetView>
  </sheetViews>
  <sheetFormatPr defaultRowHeight="14.6" x14ac:dyDescent="0.4"/>
  <cols>
    <col min="1" max="1" width="23.4609375" customWidth="1"/>
    <col min="3" max="3" width="12.69140625" customWidth="1"/>
    <col min="4" max="4" width="15.23046875" customWidth="1"/>
  </cols>
  <sheetData>
    <row r="1" spans="1:5" x14ac:dyDescent="0.4">
      <c r="A1" t="s">
        <v>45</v>
      </c>
      <c r="B1" t="s">
        <v>28</v>
      </c>
      <c r="C1" t="s">
        <v>46</v>
      </c>
      <c r="D1" t="s">
        <v>47</v>
      </c>
      <c r="E1" t="s">
        <v>29</v>
      </c>
    </row>
    <row r="2" spans="1:5" x14ac:dyDescent="0.4">
      <c r="A2">
        <v>10</v>
      </c>
      <c r="B2">
        <v>314</v>
      </c>
      <c r="C2">
        <v>332</v>
      </c>
      <c r="D2">
        <v>330</v>
      </c>
      <c r="E2" s="1">
        <v>222</v>
      </c>
    </row>
    <row r="3" spans="1:5" x14ac:dyDescent="0.4">
      <c r="A3">
        <v>15</v>
      </c>
      <c r="B3">
        <v>667</v>
      </c>
      <c r="C3">
        <v>451</v>
      </c>
      <c r="D3">
        <v>456</v>
      </c>
      <c r="E3" s="1">
        <v>351</v>
      </c>
    </row>
    <row r="4" spans="1:5" x14ac:dyDescent="0.4">
      <c r="A4">
        <v>20</v>
      </c>
      <c r="B4">
        <v>773</v>
      </c>
      <c r="C4">
        <v>555</v>
      </c>
      <c r="D4">
        <v>510</v>
      </c>
      <c r="E4" s="1">
        <v>463</v>
      </c>
    </row>
    <row r="5" spans="1:5" x14ac:dyDescent="0.4">
      <c r="A5">
        <v>25</v>
      </c>
      <c r="B5">
        <v>954</v>
      </c>
      <c r="C5">
        <v>654</v>
      </c>
      <c r="D5">
        <v>608</v>
      </c>
      <c r="E5" s="1">
        <v>562</v>
      </c>
    </row>
    <row r="6" spans="1:5" x14ac:dyDescent="0.4">
      <c r="A6">
        <v>30</v>
      </c>
      <c r="B6">
        <v>1031</v>
      </c>
      <c r="C6">
        <v>820</v>
      </c>
      <c r="D6">
        <v>802</v>
      </c>
      <c r="E6" s="1">
        <v>768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23FC5-6E24-4624-AE0B-86944D2DCDB1}">
  <dimension ref="A1:E6"/>
  <sheetViews>
    <sheetView workbookViewId="0">
      <selection activeCell="G10" sqref="G10"/>
    </sheetView>
  </sheetViews>
  <sheetFormatPr defaultRowHeight="14.6" x14ac:dyDescent="0.4"/>
  <sheetData>
    <row r="1" spans="1:5" x14ac:dyDescent="0.4">
      <c r="A1" t="s">
        <v>45</v>
      </c>
      <c r="B1" t="s">
        <v>28</v>
      </c>
      <c r="C1" t="s">
        <v>46</v>
      </c>
      <c r="D1" t="s">
        <v>47</v>
      </c>
      <c r="E1" t="s">
        <v>29</v>
      </c>
    </row>
    <row r="2" spans="1:5" x14ac:dyDescent="0.4">
      <c r="A2">
        <v>10</v>
      </c>
      <c r="B2">
        <v>68.53</v>
      </c>
      <c r="C2">
        <v>54.79</v>
      </c>
      <c r="D2">
        <v>54.6</v>
      </c>
      <c r="E2" s="1">
        <v>40.36</v>
      </c>
    </row>
    <row r="3" spans="1:5" x14ac:dyDescent="0.4">
      <c r="A3">
        <v>15</v>
      </c>
      <c r="B3">
        <v>94.2</v>
      </c>
      <c r="C3">
        <v>84.13</v>
      </c>
      <c r="D3">
        <v>83.3</v>
      </c>
      <c r="E3" s="1">
        <v>60.11</v>
      </c>
    </row>
    <row r="4" spans="1:5" x14ac:dyDescent="0.4">
      <c r="A4">
        <v>20</v>
      </c>
      <c r="B4">
        <v>106.02</v>
      </c>
      <c r="C4">
        <v>90.66</v>
      </c>
      <c r="D4">
        <v>85.96</v>
      </c>
      <c r="E4" s="1">
        <v>76.98</v>
      </c>
    </row>
    <row r="5" spans="1:5" x14ac:dyDescent="0.4">
      <c r="A5">
        <v>25</v>
      </c>
      <c r="B5">
        <v>111.96</v>
      </c>
      <c r="C5">
        <v>95.02</v>
      </c>
      <c r="D5">
        <v>95.35</v>
      </c>
      <c r="E5" s="1">
        <v>94.76</v>
      </c>
    </row>
    <row r="6" spans="1:5" x14ac:dyDescent="0.4">
      <c r="A6">
        <v>30</v>
      </c>
      <c r="B6">
        <v>124.94</v>
      </c>
      <c r="C6">
        <v>113.14</v>
      </c>
      <c r="D6">
        <v>129.94999999999999</v>
      </c>
      <c r="E6" s="1">
        <v>103.63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5C5D-6C08-43C7-8FA9-42D44A71E599}">
  <dimension ref="A1:H43"/>
  <sheetViews>
    <sheetView workbookViewId="0">
      <selection activeCell="F22" sqref="F22"/>
    </sheetView>
  </sheetViews>
  <sheetFormatPr defaultRowHeight="14.6" x14ac:dyDescent="0.4"/>
  <cols>
    <col min="1" max="1" width="26.84375" customWidth="1"/>
  </cols>
  <sheetData>
    <row r="1" spans="1:8" x14ac:dyDescent="0.4">
      <c r="A1" s="2" t="s">
        <v>48</v>
      </c>
      <c r="B1" s="3" t="s">
        <v>51</v>
      </c>
      <c r="C1" s="4" t="s">
        <v>52</v>
      </c>
    </row>
    <row r="2" spans="1:8" x14ac:dyDescent="0.4">
      <c r="A2" s="5" t="s">
        <v>49</v>
      </c>
      <c r="B2">
        <v>516</v>
      </c>
      <c r="C2" s="6">
        <v>93.51</v>
      </c>
    </row>
    <row r="3" spans="1:8" x14ac:dyDescent="0.4">
      <c r="A3" s="5"/>
      <c r="B3">
        <v>515</v>
      </c>
      <c r="C3" s="6">
        <v>96.23</v>
      </c>
      <c r="E3" t="s">
        <v>6</v>
      </c>
    </row>
    <row r="4" spans="1:8" x14ac:dyDescent="0.4">
      <c r="A4" s="5"/>
      <c r="B4">
        <v>565</v>
      </c>
      <c r="C4" s="6">
        <v>103.09</v>
      </c>
    </row>
    <row r="5" spans="1:8" x14ac:dyDescent="0.4">
      <c r="A5" s="5" t="s">
        <v>50</v>
      </c>
      <c r="B5">
        <v>516</v>
      </c>
      <c r="C5" s="6">
        <v>86.4</v>
      </c>
    </row>
    <row r="6" spans="1:8" x14ac:dyDescent="0.4">
      <c r="A6" s="5"/>
      <c r="B6">
        <v>516</v>
      </c>
      <c r="C6" s="6">
        <v>84.22</v>
      </c>
    </row>
    <row r="7" spans="1:8" x14ac:dyDescent="0.4">
      <c r="A7" s="5"/>
      <c r="B7">
        <v>516</v>
      </c>
      <c r="C7" s="6">
        <v>82.18</v>
      </c>
    </row>
    <row r="8" spans="1:8" x14ac:dyDescent="0.4">
      <c r="A8" s="5"/>
      <c r="B8">
        <v>505</v>
      </c>
      <c r="C8" s="6">
        <v>79.02</v>
      </c>
    </row>
    <row r="9" spans="1:8" ht="15" thickBot="1" x14ac:dyDescent="0.45">
      <c r="A9" s="7"/>
      <c r="B9" s="8">
        <v>505</v>
      </c>
      <c r="C9" s="9">
        <v>77.62</v>
      </c>
    </row>
    <row r="13" spans="1:8" ht="15" thickBot="1" x14ac:dyDescent="0.45"/>
    <row r="14" spans="1:8" x14ac:dyDescent="0.4">
      <c r="A14" s="2" t="s">
        <v>53</v>
      </c>
      <c r="B14" s="3" t="s">
        <v>51</v>
      </c>
      <c r="C14" s="4" t="s">
        <v>52</v>
      </c>
      <c r="G14" t="s">
        <v>51</v>
      </c>
      <c r="H14" t="s">
        <v>52</v>
      </c>
    </row>
    <row r="15" spans="1:8" x14ac:dyDescent="0.4">
      <c r="A15" s="5" t="s">
        <v>49</v>
      </c>
      <c r="B15">
        <v>505</v>
      </c>
      <c r="C15" s="6">
        <v>84.92</v>
      </c>
      <c r="G15">
        <v>518</v>
      </c>
      <c r="H15">
        <v>87.59</v>
      </c>
    </row>
    <row r="16" spans="1:8" x14ac:dyDescent="0.4">
      <c r="A16" s="5"/>
      <c r="B16">
        <v>520</v>
      </c>
      <c r="C16" s="6">
        <v>90.49</v>
      </c>
      <c r="E16" t="s">
        <v>6</v>
      </c>
      <c r="G16">
        <v>518</v>
      </c>
      <c r="H16">
        <v>84.98</v>
      </c>
    </row>
    <row r="17" spans="1:8" x14ac:dyDescent="0.4">
      <c r="B17">
        <v>520</v>
      </c>
      <c r="C17" s="6">
        <v>98.2</v>
      </c>
      <c r="G17">
        <v>518</v>
      </c>
      <c r="H17">
        <v>90.41</v>
      </c>
    </row>
    <row r="18" spans="1:8" x14ac:dyDescent="0.4">
      <c r="A18" s="5" t="s">
        <v>55</v>
      </c>
      <c r="B18">
        <v>518</v>
      </c>
      <c r="C18" s="6">
        <v>87.59</v>
      </c>
    </row>
    <row r="19" spans="1:8" x14ac:dyDescent="0.4">
      <c r="A19" s="5"/>
      <c r="B19">
        <v>518</v>
      </c>
      <c r="C19" s="6">
        <v>84.98</v>
      </c>
    </row>
    <row r="20" spans="1:8" ht="15" thickBot="1" x14ac:dyDescent="0.45">
      <c r="A20" s="7"/>
      <c r="B20" s="8">
        <v>518</v>
      </c>
      <c r="C20" s="9">
        <v>90.41</v>
      </c>
    </row>
    <row r="25" spans="1:8" ht="15" thickBot="1" x14ac:dyDescent="0.45"/>
    <row r="26" spans="1:8" x14ac:dyDescent="0.4">
      <c r="A26" s="2" t="s">
        <v>54</v>
      </c>
      <c r="B26" s="3" t="s">
        <v>51</v>
      </c>
      <c r="C26" s="4" t="s">
        <v>52</v>
      </c>
    </row>
    <row r="27" spans="1:8" x14ac:dyDescent="0.4">
      <c r="A27" s="5" t="s">
        <v>49</v>
      </c>
      <c r="B27">
        <v>633</v>
      </c>
      <c r="C27" s="6">
        <v>100.02</v>
      </c>
    </row>
    <row r="28" spans="1:8" x14ac:dyDescent="0.4">
      <c r="A28" s="5"/>
      <c r="B28">
        <v>621</v>
      </c>
      <c r="C28" s="6">
        <v>106.78</v>
      </c>
      <c r="E28" t="s">
        <v>6</v>
      </c>
    </row>
    <row r="29" spans="1:8" x14ac:dyDescent="0.4">
      <c r="A29" s="5"/>
      <c r="B29">
        <v>590</v>
      </c>
      <c r="C29" s="6">
        <v>91.01</v>
      </c>
    </row>
    <row r="30" spans="1:8" x14ac:dyDescent="0.4">
      <c r="A30" s="5" t="s">
        <v>55</v>
      </c>
      <c r="B30">
        <v>516</v>
      </c>
      <c r="C30" s="6">
        <v>86.4</v>
      </c>
    </row>
    <row r="31" spans="1:8" x14ac:dyDescent="0.4">
      <c r="A31" s="5"/>
      <c r="B31">
        <v>516</v>
      </c>
      <c r="C31" s="6">
        <v>84.22</v>
      </c>
    </row>
    <row r="32" spans="1:8" x14ac:dyDescent="0.4">
      <c r="A32" s="5"/>
      <c r="B32">
        <v>516</v>
      </c>
      <c r="C32" s="6">
        <v>82.18</v>
      </c>
    </row>
    <row r="33" spans="1:3" x14ac:dyDescent="0.4">
      <c r="A33" s="5"/>
      <c r="B33">
        <v>505</v>
      </c>
      <c r="C33" s="6">
        <v>79.02</v>
      </c>
    </row>
    <row r="34" spans="1:3" ht="15" thickBot="1" x14ac:dyDescent="0.45">
      <c r="A34" s="7"/>
      <c r="B34" s="8">
        <v>505</v>
      </c>
      <c r="C34" s="9">
        <v>77.62</v>
      </c>
    </row>
    <row r="37" spans="1:3" ht="15" thickBot="1" x14ac:dyDescent="0.45"/>
    <row r="38" spans="1:3" x14ac:dyDescent="0.4">
      <c r="A38" s="2" t="s">
        <v>55</v>
      </c>
      <c r="B38" s="3" t="s">
        <v>51</v>
      </c>
      <c r="C38" s="4" t="s">
        <v>52</v>
      </c>
    </row>
    <row r="39" spans="1:3" x14ac:dyDescent="0.4">
      <c r="A39" s="5"/>
      <c r="B39">
        <v>516</v>
      </c>
      <c r="C39" s="6">
        <v>86.4</v>
      </c>
    </row>
    <row r="40" spans="1:3" x14ac:dyDescent="0.4">
      <c r="A40" s="5"/>
      <c r="B40">
        <v>516</v>
      </c>
      <c r="C40" s="6">
        <v>84.22</v>
      </c>
    </row>
    <row r="41" spans="1:3" x14ac:dyDescent="0.4">
      <c r="A41" s="5"/>
      <c r="B41">
        <v>516</v>
      </c>
      <c r="C41" s="6">
        <v>82.18</v>
      </c>
    </row>
    <row r="42" spans="1:3" x14ac:dyDescent="0.4">
      <c r="A42" s="5"/>
      <c r="B42">
        <v>505</v>
      </c>
      <c r="C42" s="6">
        <v>79.02</v>
      </c>
    </row>
    <row r="43" spans="1:3" ht="15" thickBot="1" x14ac:dyDescent="0.45">
      <c r="A43" s="7"/>
      <c r="B43" s="8">
        <v>505</v>
      </c>
      <c r="C43" s="9">
        <v>77.62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682AF-A472-4F61-98F1-4E08BA928432}">
  <dimension ref="A1:C5"/>
  <sheetViews>
    <sheetView workbookViewId="0">
      <selection activeCell="L12" sqref="L12"/>
    </sheetView>
  </sheetViews>
  <sheetFormatPr defaultRowHeight="14.6" x14ac:dyDescent="0.4"/>
  <sheetData>
    <row r="1" spans="1:3" x14ac:dyDescent="0.4">
      <c r="A1" t="s">
        <v>56</v>
      </c>
      <c r="B1" t="s">
        <v>27</v>
      </c>
      <c r="C1" t="s">
        <v>57</v>
      </c>
    </row>
    <row r="2" spans="1:3" x14ac:dyDescent="0.4">
      <c r="A2">
        <v>25</v>
      </c>
      <c r="B2">
        <v>917</v>
      </c>
      <c r="C2">
        <v>109</v>
      </c>
    </row>
    <row r="3" spans="1:3" x14ac:dyDescent="0.4">
      <c r="A3">
        <v>50</v>
      </c>
      <c r="B3">
        <v>1614</v>
      </c>
      <c r="C3">
        <v>153</v>
      </c>
    </row>
    <row r="4" spans="1:3" x14ac:dyDescent="0.4">
      <c r="A4">
        <v>75</v>
      </c>
      <c r="B4">
        <v>2074</v>
      </c>
      <c r="C4">
        <v>183</v>
      </c>
    </row>
    <row r="5" spans="1:3" x14ac:dyDescent="0.4">
      <c r="A5">
        <v>100</v>
      </c>
      <c r="B5">
        <v>2543</v>
      </c>
      <c r="C5">
        <v>255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4B4AA-A4B0-4F3D-BE09-E6F6D372A7A7}">
  <dimension ref="A1:C30"/>
  <sheetViews>
    <sheetView topLeftCell="A5" workbookViewId="0">
      <selection activeCell="E17" sqref="E17"/>
    </sheetView>
  </sheetViews>
  <sheetFormatPr defaultRowHeight="14.6" x14ac:dyDescent="0.4"/>
  <cols>
    <col min="1" max="1" width="16.921875" customWidth="1"/>
    <col min="2" max="2" width="13.07421875" customWidth="1"/>
    <col min="3" max="3" width="12" customWidth="1"/>
  </cols>
  <sheetData>
    <row r="1" spans="1:3" x14ac:dyDescent="0.4">
      <c r="A1" t="s">
        <v>58</v>
      </c>
      <c r="B1" t="s">
        <v>27</v>
      </c>
      <c r="C1" t="s">
        <v>59</v>
      </c>
    </row>
    <row r="2" spans="1:3" x14ac:dyDescent="0.4">
      <c r="A2">
        <v>4</v>
      </c>
      <c r="B2">
        <v>636</v>
      </c>
      <c r="C2">
        <v>101.78</v>
      </c>
    </row>
    <row r="3" spans="1:3" x14ac:dyDescent="0.4">
      <c r="B3">
        <v>636</v>
      </c>
      <c r="C3">
        <v>99.38</v>
      </c>
    </row>
    <row r="4" spans="1:3" x14ac:dyDescent="0.4">
      <c r="B4">
        <v>636</v>
      </c>
      <c r="C4">
        <v>100.09</v>
      </c>
    </row>
    <row r="5" spans="1:3" x14ac:dyDescent="0.4">
      <c r="B5">
        <v>636</v>
      </c>
      <c r="C5">
        <v>99.02</v>
      </c>
    </row>
    <row r="6" spans="1:3" x14ac:dyDescent="0.4">
      <c r="B6">
        <v>636</v>
      </c>
      <c r="C6">
        <v>98.02</v>
      </c>
    </row>
    <row r="8" spans="1:3" x14ac:dyDescent="0.4">
      <c r="A8">
        <v>5</v>
      </c>
      <c r="B8">
        <v>661</v>
      </c>
      <c r="C8">
        <v>104.41</v>
      </c>
    </row>
    <row r="9" spans="1:3" x14ac:dyDescent="0.4">
      <c r="B9">
        <v>661</v>
      </c>
      <c r="C9">
        <v>101.91</v>
      </c>
    </row>
    <row r="10" spans="1:3" x14ac:dyDescent="0.4">
      <c r="B10">
        <v>661</v>
      </c>
      <c r="C10">
        <v>103.93</v>
      </c>
    </row>
    <row r="11" spans="1:3" x14ac:dyDescent="0.4">
      <c r="B11">
        <v>661</v>
      </c>
      <c r="C11">
        <v>102.54</v>
      </c>
    </row>
    <row r="12" spans="1:3" x14ac:dyDescent="0.4">
      <c r="B12">
        <v>661</v>
      </c>
      <c r="C12">
        <v>104.1</v>
      </c>
    </row>
    <row r="14" spans="1:3" x14ac:dyDescent="0.4">
      <c r="A14">
        <v>6</v>
      </c>
      <c r="B14">
        <v>675</v>
      </c>
      <c r="C14">
        <v>98.89</v>
      </c>
    </row>
    <row r="15" spans="1:3" x14ac:dyDescent="0.4">
      <c r="B15">
        <v>675</v>
      </c>
      <c r="C15">
        <v>97.34</v>
      </c>
    </row>
    <row r="16" spans="1:3" x14ac:dyDescent="0.4">
      <c r="B16">
        <v>675</v>
      </c>
      <c r="C16">
        <v>99.5</v>
      </c>
    </row>
    <row r="17" spans="1:3" x14ac:dyDescent="0.4">
      <c r="B17">
        <v>675</v>
      </c>
      <c r="C17">
        <v>100.5</v>
      </c>
    </row>
    <row r="18" spans="1:3" x14ac:dyDescent="0.4">
      <c r="B18">
        <v>675</v>
      </c>
      <c r="C18">
        <v>100.21</v>
      </c>
    </row>
    <row r="20" spans="1:3" x14ac:dyDescent="0.4">
      <c r="A20">
        <v>7</v>
      </c>
      <c r="B20">
        <v>691</v>
      </c>
      <c r="C20">
        <v>95.9</v>
      </c>
    </row>
    <row r="21" spans="1:3" x14ac:dyDescent="0.4">
      <c r="B21">
        <v>691</v>
      </c>
      <c r="C21">
        <v>95.3</v>
      </c>
    </row>
    <row r="22" spans="1:3" x14ac:dyDescent="0.4">
      <c r="B22">
        <v>691</v>
      </c>
      <c r="C22">
        <v>96.62</v>
      </c>
    </row>
    <row r="23" spans="1:3" x14ac:dyDescent="0.4">
      <c r="B23">
        <v>691</v>
      </c>
      <c r="C23">
        <v>97.31</v>
      </c>
    </row>
    <row r="24" spans="1:3" x14ac:dyDescent="0.4">
      <c r="B24">
        <v>691</v>
      </c>
      <c r="C24">
        <v>95.24</v>
      </c>
    </row>
    <row r="26" spans="1:3" x14ac:dyDescent="0.4">
      <c r="A26">
        <v>8</v>
      </c>
      <c r="B26">
        <v>691</v>
      </c>
      <c r="C26">
        <v>95.2</v>
      </c>
    </row>
    <row r="27" spans="1:3" x14ac:dyDescent="0.4">
      <c r="B27">
        <v>691</v>
      </c>
      <c r="C27">
        <v>94.84</v>
      </c>
    </row>
    <row r="28" spans="1:3" x14ac:dyDescent="0.4">
      <c r="B28">
        <v>691</v>
      </c>
      <c r="C28">
        <v>94.3</v>
      </c>
    </row>
    <row r="29" spans="1:3" x14ac:dyDescent="0.4">
      <c r="B29">
        <v>691</v>
      </c>
      <c r="C29">
        <v>96.34</v>
      </c>
    </row>
    <row r="30" spans="1:3" x14ac:dyDescent="0.4">
      <c r="B30">
        <v>691</v>
      </c>
      <c r="C30">
        <v>97.84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2069-3910-48E4-912B-AA664CB42A2E}">
  <dimension ref="A1:F6"/>
  <sheetViews>
    <sheetView tabSelected="1" workbookViewId="0">
      <selection activeCell="D10" sqref="D10"/>
    </sheetView>
  </sheetViews>
  <sheetFormatPr defaultRowHeight="14.6" x14ac:dyDescent="0.4"/>
  <cols>
    <col min="3" max="3" width="30.765625" customWidth="1"/>
    <col min="5" max="5" width="36.84375" customWidth="1"/>
    <col min="6" max="6" width="18.3046875" customWidth="1"/>
  </cols>
  <sheetData>
    <row r="1" spans="1:6" x14ac:dyDescent="0.4">
      <c r="B1" t="s">
        <v>29</v>
      </c>
      <c r="C1" t="s">
        <v>69</v>
      </c>
      <c r="D1" t="s">
        <v>61</v>
      </c>
      <c r="E1" t="s">
        <v>68</v>
      </c>
      <c r="F1" t="s">
        <v>67</v>
      </c>
    </row>
    <row r="2" spans="1:6" x14ac:dyDescent="0.4">
      <c r="A2" t="s">
        <v>66</v>
      </c>
      <c r="B2">
        <v>440</v>
      </c>
      <c r="C2">
        <v>0.36630000000000001</v>
      </c>
      <c r="D2">
        <v>354</v>
      </c>
      <c r="E2" t="s">
        <v>65</v>
      </c>
      <c r="F2" s="11">
        <v>0.22120000000000001</v>
      </c>
    </row>
    <row r="3" spans="1:6" x14ac:dyDescent="0.4">
      <c r="A3" t="s">
        <v>60</v>
      </c>
      <c r="B3">
        <v>399</v>
      </c>
      <c r="C3">
        <v>0.32369999999999999</v>
      </c>
      <c r="D3">
        <v>300</v>
      </c>
      <c r="E3" t="s">
        <v>65</v>
      </c>
      <c r="F3" s="11">
        <v>0.16689999999999999</v>
      </c>
    </row>
    <row r="4" spans="1:6" x14ac:dyDescent="0.4">
      <c r="A4" t="s">
        <v>62</v>
      </c>
      <c r="B4">
        <v>316</v>
      </c>
      <c r="C4">
        <v>0.2011</v>
      </c>
      <c r="D4">
        <v>224</v>
      </c>
      <c r="E4" t="s">
        <v>65</v>
      </c>
      <c r="F4" s="11">
        <v>6.0699999999999997E-2</v>
      </c>
    </row>
    <row r="5" spans="1:6" x14ac:dyDescent="0.4">
      <c r="A5" t="s">
        <v>63</v>
      </c>
      <c r="B5">
        <v>197</v>
      </c>
      <c r="C5">
        <v>8.3699999999999997E-2</v>
      </c>
      <c r="D5">
        <v>197</v>
      </c>
      <c r="E5">
        <v>32.944699999999997</v>
      </c>
      <c r="F5" s="11">
        <v>0</v>
      </c>
    </row>
    <row r="6" spans="1:6" x14ac:dyDescent="0.4">
      <c r="A6" t="s">
        <v>64</v>
      </c>
      <c r="B6">
        <v>164</v>
      </c>
      <c r="C6">
        <v>7.1599999999999997E-2</v>
      </c>
      <c r="D6">
        <v>159</v>
      </c>
      <c r="E6">
        <v>3.9626999999999999</v>
      </c>
      <c r="F6" s="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C65E-6499-42BD-A554-9DB595BF9440}">
  <dimension ref="A1:L8"/>
  <sheetViews>
    <sheetView workbookViewId="0">
      <selection activeCell="E13" sqref="E13"/>
    </sheetView>
  </sheetViews>
  <sheetFormatPr defaultRowHeight="14.6" x14ac:dyDescent="0.4"/>
  <cols>
    <col min="8" max="8" width="31.61328125" customWidth="1"/>
    <col min="9" max="9" width="10.53515625" customWidth="1"/>
  </cols>
  <sheetData>
    <row r="1" spans="1:12" x14ac:dyDescent="0.4">
      <c r="A1" t="s">
        <v>25</v>
      </c>
      <c r="B1" t="s">
        <v>27</v>
      </c>
      <c r="H1" t="s">
        <v>43</v>
      </c>
      <c r="I1">
        <v>25</v>
      </c>
      <c r="J1">
        <v>50</v>
      </c>
      <c r="K1">
        <v>75</v>
      </c>
      <c r="L1">
        <v>100</v>
      </c>
    </row>
    <row r="2" spans="1:12" x14ac:dyDescent="0.4">
      <c r="A2">
        <v>18</v>
      </c>
      <c r="B2">
        <v>739</v>
      </c>
      <c r="H2" t="s">
        <v>28</v>
      </c>
      <c r="I2" t="s">
        <v>31</v>
      </c>
      <c r="J2" t="s">
        <v>33</v>
      </c>
      <c r="K2" t="s">
        <v>40</v>
      </c>
      <c r="L2" t="s">
        <v>39</v>
      </c>
    </row>
    <row r="3" spans="1:12" x14ac:dyDescent="0.4">
      <c r="H3" t="s">
        <v>34</v>
      </c>
      <c r="I3" t="s">
        <v>37</v>
      </c>
      <c r="J3" t="s">
        <v>35</v>
      </c>
      <c r="K3" t="s">
        <v>38</v>
      </c>
      <c r="L3" t="s">
        <v>41</v>
      </c>
    </row>
    <row r="4" spans="1:12" x14ac:dyDescent="0.4">
      <c r="H4" t="s">
        <v>30</v>
      </c>
      <c r="I4" t="s">
        <v>32</v>
      </c>
      <c r="J4" t="s">
        <v>36</v>
      </c>
    </row>
    <row r="6" spans="1:12" x14ac:dyDescent="0.4">
      <c r="H6" t="s">
        <v>42</v>
      </c>
      <c r="I6">
        <v>3</v>
      </c>
      <c r="J6">
        <v>6</v>
      </c>
      <c r="K6">
        <v>9</v>
      </c>
      <c r="L6">
        <v>12</v>
      </c>
    </row>
    <row r="7" spans="1:12" x14ac:dyDescent="0.4">
      <c r="H7" t="s">
        <v>28</v>
      </c>
    </row>
    <row r="8" spans="1:12" x14ac:dyDescent="0.4">
      <c r="H8" t="s">
        <v>29</v>
      </c>
      <c r="I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Total Steps</vt:lpstr>
      <vt:lpstr>Total Time</vt:lpstr>
      <vt:lpstr>LLM</vt:lpstr>
      <vt:lpstr>Sheet2</vt:lpstr>
      <vt:lpstr>Sensitivity of Cluster number</vt:lpstr>
      <vt:lpstr>MILP compare</vt:lpstr>
      <vt:lpstr>CBBA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黎楠</dc:creator>
  <cp:lastModifiedBy>Nan Li</cp:lastModifiedBy>
  <dcterms:created xsi:type="dcterms:W3CDTF">2015-06-05T18:17:20Z</dcterms:created>
  <dcterms:modified xsi:type="dcterms:W3CDTF">2026-01-26T22:16:51Z</dcterms:modified>
</cp:coreProperties>
</file>